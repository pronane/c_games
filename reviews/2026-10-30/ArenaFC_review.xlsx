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Findings" sheetId="2" state="visible" r:id="rId4"/>
  </sheets>
  <definedNames>
    <definedName function="false" hidden="true" localSheetId="1" name="_xlnm._FilterDatabase" vbProcedure="false">Findings!$A$1:$G$12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<sst xmlns="http://schemas.openxmlformats.org/spreadsheetml/2006/main" count="88" uniqueCount="64">
  <si>
    <t xml:space="preserve">ArenaFC - review summary</t>
  </si>
  <si>
    <t xml:space="preserve">Language / stack</t>
  </si>
  <si>
    <t xml:space="preserve">C# / Godot 4.7 (.NET 9) + GDScript web</t>
  </si>
  <si>
    <t xml:space="preserve">Source size (lines)</t>
  </si>
  <si>
    <t xml:space="preserve">~5,600 (C#)</t>
  </si>
  <si>
    <t xml:space="preserve">Could it be run?</t>
  </si>
  <si>
    <t xml:space="preserve">No - no .NET/Godot available</t>
  </si>
  <si>
    <t xml:space="preserve">Existing tests</t>
  </si>
  <si>
    <t xml:space="preserve">Author claims 66 + 55 tests (not verified)</t>
  </si>
  <si>
    <t xml:space="preserve">Evidence used</t>
  </si>
  <si>
    <t xml:space="preserve">Static read of docs/server/core</t>
  </si>
  <si>
    <t xml:space="preserve">Review date</t>
  </si>
  <si>
    <t xml:space="preserve">2026-10-30</t>
  </si>
  <si>
    <t xml:space="preserve">Full write-up</t>
  </si>
  <si>
    <t xml:space="preserve">ArenaFC_review.md</t>
  </si>
  <si>
    <t xml:space="preserve">Severity</t>
  </si>
  <si>
    <t xml:space="preserve">Total</t>
  </si>
  <si>
    <t xml:space="preserve">Open</t>
  </si>
  <si>
    <t xml:space="preserve">Fixed</t>
  </si>
  <si>
    <t xml:space="preserve">High</t>
  </si>
  <si>
    <t xml:space="preserve">Medium</t>
  </si>
  <si>
    <t xml:space="preserve">Low</t>
  </si>
  <si>
    <t xml:space="preserve">Info</t>
  </si>
  <si>
    <t xml:space="preserve">Legend: on the Findings sheet, yellow cells (Status, Owner / notes) are yours to edit; counts above update automatically.</t>
  </si>
  <si>
    <t xml:space="preserve">Severity is my judgement from reading the code, not measured impact. Nothing here was run.</t>
  </si>
  <si>
    <t xml:space="preserve">#</t>
  </si>
  <si>
    <t xml:space="preserve">Area</t>
  </si>
  <si>
    <t xml:space="preserve">Finding</t>
  </si>
  <si>
    <t xml:space="preserve">Suggestion</t>
  </si>
  <si>
    <t xml:space="preserve">Status</t>
  </si>
  <si>
    <t xml:space="preserve">Owner / notes</t>
  </si>
  <si>
    <t xml:space="preserve">WebSocket frames</t>
  </si>
  <si>
    <t xml:space="preserve">64-bit payload length is read into a signed `long`; a value with the high bit set becomes negative, passes the `&gt; 4 MiB` check, and `new byte[len]` throws `OverflowException`, which the read loop does not catch (only cancellation/IO/disposed).</t>
  </si>
  <si>
    <t xml:space="preserve">Validate `len` as unsigned before allocating; catch generic exceptions.</t>
  </si>
  <si>
    <t xml:space="preserve">Fragmentation</t>
  </si>
  <si>
    <t xml:space="preserve">Each frame is capped at 4 MiB, but continuation frames append to an unbounded `List&lt;byte&gt;`, so one client can exhaust memory. A 4 MiB buffer is also allocated per frame with no per-IP or connection cap.</t>
  </si>
  <si>
    <t xml:space="preserve">Cap total message size (e.g. 64 KB); limit connections per IP.</t>
  </si>
  <si>
    <t xml:space="preserve">Handshake timeout</t>
  </si>
  <si>
    <t xml:space="preserve">`Stream.ReadTimeout = 5000` does not apply to `ReadAsync`, so a slow client can hold a handshake open. After the handshake the timeout is infinite.</t>
  </si>
  <si>
    <t xml:space="preserve">Use a `CancellationTokenSource` with timeout.</t>
  </si>
  <si>
    <t xml:space="preserve">Protocol conformance</t>
  </si>
  <si>
    <t xml:space="preserve">Accepts unmasked client frames (RFC 6455 requires masking), does not enforce control-frame limits, RSV bits or UTF-8 validity, and treats binary frames as text.</t>
  </si>
  <si>
    <t xml:space="preserve">Prefer ASP.NET Core / `System.Net.WebSockets`.</t>
  </si>
  <si>
    <t xml:space="preserve">Origin</t>
  </si>
  <si>
    <t xml:space="preserve">No `Origin` check on upgrade; HTTP responses send `Access-Control-Allow-Origin: *`.</t>
  </si>
  <si>
    <t xml:space="preserve">Allow-list origins.</t>
  </si>
  <si>
    <t xml:space="preserve">Determinism</t>
  </si>
  <si>
    <t xml:space="preserve">The core uses `MathF` (sin etc.) and float math. Results are not guaranteed bit-identical across OS/CPU architectures, which matters for peer-host simulation handoff and rollback. The README's "honest limits" section acknowledges related limits.</t>
  </si>
  <si>
    <t xml:space="preserve">Fixed-point or deterministic math for sim-critical code; cross-platform replay test.</t>
  </si>
  <si>
    <t xml:space="preserve">Concurrency</t>
  </si>
  <si>
    <t xml:space="preserve">One global `lock(_hub.Gate)` guards all rooms and the game loop; a slow room delays every room.</t>
  </si>
  <si>
    <t xml:space="preserve">Per-room locks.</t>
  </si>
  <si>
    <t xml:space="preserve">`MatchEngine.Step`</t>
  </si>
  <si>
    <t xml:space="preserve">Takes a variable `dt` argument although a fixed `Dt = 1/60` exists.</t>
  </si>
  <si>
    <t xml:space="preserve">Remove the parameter or assert it.</t>
  </si>
  <si>
    <t xml:space="preserve">Docs</t>
  </si>
  <si>
    <t xml:space="preserve">README intro advertises v2 online play, but section 4 says "No ... online multiplayer"; says 47 assertions where `TEST_REPORT.md` says 66; README says .NET 9 while the test report lists 8.0.427 and 9.0.320.</t>
  </si>
  <si>
    <t xml:space="preserve">Reconcile.</t>
  </si>
  <si>
    <t xml:space="preserve">Maintenance</t>
  </si>
  <si>
    <t xml:space="preserve">The web edition is a separate GDScript reimplementation (Godot cannot export C# to web), so the two can drift.</t>
  </si>
  <si>
    <t xml:space="preserve">Share data and tests, document the gap.</t>
  </si>
  <si>
    <t xml:space="preserve">Repo hygiene</t>
  </si>
  <si>
    <t xml:space="preserve">`Tests/obj` is committed; no CI. README calls the test runner "`dotnet test`-style", but it is a console runner.</t>
  </si>
  <si>
    <t xml:space="preserve">Add `.gitignore`, CI, xUnit.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</si>
</sst>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FFF2CC"/>
        <bgColor rgb="FFE2EFDA"/>
      </patternFill>
    </fill>
    <fill>
      <patternFill patternType="solid">
        <fgColor rgb="FFFFE699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  <col collapsed="false" customWidth="true" hidden="false" outlineLevel="0" max="4" min="3" style="0" width="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2" customFormat="false" ht="15" hidden="false" customHeight="false" outlineLevel="0" collapsed="false">
      <c r="A12" s="4" t="s">
        <v>15</v>
      </c>
      <c r="B12" s="4" t="s">
        <v>16</v>
      </c>
      <c r="C12" s="4" t="s">
        <v>17</v>
      </c>
      <c r="D12" s="4" t="s">
        <v>18</v>
      </c>
    </row>
    <row r="13" customFormat="false" ht="15" hidden="false" customHeight="false" outlineLevel="0" collapsed="false">
      <c r="A13" s="5" t="s">
        <v>19</v>
      </c>
      <c r="B13" s="5" t="n">
        <f aca="false">COUNTIF(Findings!$B$2:$B$12,A13)</f>
        <v>2</v>
      </c>
      <c r="C13" s="5" t="n">
        <f aca="false">COUNTIFS(Findings!$B$2:$B$12,A13,Findings!$F$2:$F$12,"Open")</f>
        <v>2</v>
      </c>
      <c r="D13" s="5" t="n">
        <f aca="false">COUNTIFS(Findings!$B$2:$B$12,A13,Findings!$F$2:$F$12,"Fixed")</f>
        <v>0</v>
      </c>
    </row>
    <row r="14" customFormat="false" ht="15" hidden="false" customHeight="false" outlineLevel="0" collapsed="false">
      <c r="A14" s="5" t="s">
        <v>20</v>
      </c>
      <c r="B14" s="5" t="n">
        <f aca="false">COUNTIF(Findings!$B$2:$B$12,A14)</f>
        <v>4</v>
      </c>
      <c r="C14" s="5" t="n">
        <f aca="false">COUNTIFS(Findings!$B$2:$B$12,A14,Findings!$F$2:$F$12,"Open")</f>
        <v>4</v>
      </c>
      <c r="D14" s="5" t="n">
        <f aca="false">COUNTIFS(Findings!$B$2:$B$12,A14,Findings!$F$2:$F$12,"Fixed")</f>
        <v>0</v>
      </c>
    </row>
    <row r="15" customFormat="false" ht="15" hidden="false" customHeight="false" outlineLevel="0" collapsed="false">
      <c r="A15" s="5" t="s">
        <v>21</v>
      </c>
      <c r="B15" s="5" t="n">
        <f aca="false">COUNTIF(Findings!$B$2:$B$12,A15)</f>
        <v>4</v>
      </c>
      <c r="C15" s="5" t="n">
        <f aca="false">COUNTIFS(Findings!$B$2:$B$12,A15,Findings!$F$2:$F$12,"Open")</f>
        <v>4</v>
      </c>
      <c r="D15" s="5" t="n">
        <f aca="false">COUNTIFS(Findings!$B$2:$B$12,A15,Findings!$F$2:$F$12,"Fixed")</f>
        <v>0</v>
      </c>
    </row>
    <row r="16" customFormat="false" ht="15" hidden="false" customHeight="false" outlineLevel="0" collapsed="false">
      <c r="A16" s="5" t="s">
        <v>22</v>
      </c>
      <c r="B16" s="5" t="n">
        <f aca="false">COUNTIF(Findings!$B$2:$B$12,A16)</f>
        <v>1</v>
      </c>
      <c r="C16" s="5" t="n">
        <f aca="false">COUNTIFS(Findings!$B$2:$B$12,A16,Findings!$F$2:$F$12,"Open")</f>
        <v>1</v>
      </c>
      <c r="D16" s="5" t="n">
        <f aca="false">COUNTIFS(Findings!$B$2:$B$12,A16,Findings!$F$2:$F$12,"Fixed")</f>
        <v>0</v>
      </c>
    </row>
    <row r="17" customFormat="false" ht="15" hidden="false" customHeight="false" outlineLevel="0" collapsed="false">
      <c r="A17" s="2" t="s">
        <v>16</v>
      </c>
      <c r="B17" s="2" t="n">
        <f aca="false">SUM(B13:B16)</f>
        <v>11</v>
      </c>
      <c r="C17" s="2" t="n">
        <f aca="false">SUM(C13:C16)</f>
        <v>11</v>
      </c>
      <c r="D17" s="2" t="n">
        <f aca="false">SUM(D13:D16)</f>
        <v>0</v>
      </c>
    </row>
    <row r="19" customFormat="false" ht="15" hidden="false" customHeight="false" outlineLevel="0" collapsed="false">
      <c r="A19" s="6" t="s">
        <v>23</v>
      </c>
    </row>
    <row r="20" customFormat="false" ht="15" hidden="false" customHeight="false" outlineLevel="0" collapsed="false">
      <c r="A20" s="6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70"/>
    <col collapsed="false" customWidth="true" hidden="false" outlineLevel="0" max="5" min="5" style="0" width="45"/>
    <col collapsed="false" customWidth="true" hidden="false" outlineLevel="0" max="6" min="6" style="0" width="12"/>
    <col collapsed="false" customWidth="true" hidden="false" outlineLevel="0" max="7" min="7" style="0" width="28"/>
  </cols>
  <sheetData>
    <row r="1" customFormat="false" ht="15" hidden="false" customHeight="false" outlineLevel="0" collapsed="false">
      <c r="A1" s="7" t="s">
        <v>25</v>
      </c>
      <c r="B1" s="7" t="s">
        <v>15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</row>
    <row r="2" customFormat="false" ht="35.05" hidden="false" customHeight="false" outlineLevel="0" collapsed="false">
      <c r="A2" s="8" t="n">
        <v>1</v>
      </c>
      <c r="B2" s="9" t="s">
        <v>19</v>
      </c>
      <c r="C2" s="8" t="s">
        <v>31</v>
      </c>
      <c r="D2" s="8" t="s">
        <v>32</v>
      </c>
      <c r="E2" s="8" t="s">
        <v>33</v>
      </c>
      <c r="F2" s="10" t="s">
        <v>17</v>
      </c>
      <c r="G2" s="10"/>
    </row>
    <row r="3" customFormat="false" ht="35.05" hidden="false" customHeight="false" outlineLevel="0" collapsed="false">
      <c r="A3" s="8" t="n">
        <v>2</v>
      </c>
      <c r="B3" s="9" t="s">
        <v>19</v>
      </c>
      <c r="C3" s="8" t="s">
        <v>34</v>
      </c>
      <c r="D3" s="8" t="s">
        <v>35</v>
      </c>
      <c r="E3" s="8" t="s">
        <v>36</v>
      </c>
      <c r="F3" s="10" t="s">
        <v>17</v>
      </c>
      <c r="G3" s="10"/>
    </row>
    <row r="4" customFormat="false" ht="23.85" hidden="false" customHeight="false" outlineLevel="0" collapsed="false">
      <c r="A4" s="8" t="n">
        <v>3</v>
      </c>
      <c r="B4" s="11" t="s">
        <v>20</v>
      </c>
      <c r="C4" s="8" t="s">
        <v>37</v>
      </c>
      <c r="D4" s="8" t="s">
        <v>38</v>
      </c>
      <c r="E4" s="8" t="s">
        <v>39</v>
      </c>
      <c r="F4" s="10" t="s">
        <v>17</v>
      </c>
      <c r="G4" s="10"/>
    </row>
    <row r="5" customFormat="false" ht="23.85" hidden="false" customHeight="false" outlineLevel="0" collapsed="false">
      <c r="A5" s="8" t="n">
        <v>4</v>
      </c>
      <c r="B5" s="11" t="s">
        <v>20</v>
      </c>
      <c r="C5" s="8" t="s">
        <v>40</v>
      </c>
      <c r="D5" s="8" t="s">
        <v>41</v>
      </c>
      <c r="E5" s="8" t="s">
        <v>42</v>
      </c>
      <c r="F5" s="10" t="s">
        <v>17</v>
      </c>
      <c r="G5" s="10"/>
    </row>
    <row r="6" customFormat="false" ht="15" hidden="false" customHeight="false" outlineLevel="0" collapsed="false">
      <c r="A6" s="8" t="n">
        <v>5</v>
      </c>
      <c r="B6" s="11" t="s">
        <v>20</v>
      </c>
      <c r="C6" s="8" t="s">
        <v>43</v>
      </c>
      <c r="D6" s="8" t="s">
        <v>44</v>
      </c>
      <c r="E6" s="8" t="s">
        <v>45</v>
      </c>
      <c r="F6" s="10" t="s">
        <v>17</v>
      </c>
      <c r="G6" s="10"/>
    </row>
    <row r="7" customFormat="false" ht="35.05" hidden="false" customHeight="false" outlineLevel="0" collapsed="false">
      <c r="A7" s="8" t="n">
        <v>6</v>
      </c>
      <c r="B7" s="11" t="s">
        <v>20</v>
      </c>
      <c r="C7" s="8" t="s">
        <v>46</v>
      </c>
      <c r="D7" s="8" t="s">
        <v>47</v>
      </c>
      <c r="E7" s="8" t="s">
        <v>48</v>
      </c>
      <c r="F7" s="10" t="s">
        <v>17</v>
      </c>
      <c r="G7" s="10"/>
    </row>
    <row r="8" customFormat="false" ht="23.85" hidden="false" customHeight="false" outlineLevel="0" collapsed="false">
      <c r="A8" s="8" t="n">
        <v>7</v>
      </c>
      <c r="B8" s="12" t="s">
        <v>21</v>
      </c>
      <c r="C8" s="8" t="s">
        <v>49</v>
      </c>
      <c r="D8" s="8" t="s">
        <v>50</v>
      </c>
      <c r="E8" s="8" t="s">
        <v>51</v>
      </c>
      <c r="F8" s="10" t="s">
        <v>17</v>
      </c>
      <c r="G8" s="10"/>
    </row>
    <row r="9" customFormat="false" ht="15" hidden="false" customHeight="false" outlineLevel="0" collapsed="false">
      <c r="A9" s="8" t="n">
        <v>8</v>
      </c>
      <c r="B9" s="12" t="s">
        <v>21</v>
      </c>
      <c r="C9" s="8" t="s">
        <v>52</v>
      </c>
      <c r="D9" s="8" t="s">
        <v>53</v>
      </c>
      <c r="E9" s="8" t="s">
        <v>54</v>
      </c>
      <c r="F9" s="10" t="s">
        <v>17</v>
      </c>
      <c r="G9" s="10"/>
    </row>
    <row r="10" customFormat="false" ht="35.05" hidden="false" customHeight="false" outlineLevel="0" collapsed="false">
      <c r="A10" s="8" t="n">
        <v>9</v>
      </c>
      <c r="B10" s="12" t="s">
        <v>21</v>
      </c>
      <c r="C10" s="8" t="s">
        <v>55</v>
      </c>
      <c r="D10" s="8" t="s">
        <v>56</v>
      </c>
      <c r="E10" s="8" t="s">
        <v>57</v>
      </c>
      <c r="F10" s="10" t="s">
        <v>17</v>
      </c>
      <c r="G10" s="10"/>
    </row>
    <row r="11" customFormat="false" ht="23.85" hidden="false" customHeight="false" outlineLevel="0" collapsed="false">
      <c r="A11" s="8" t="n">
        <v>10</v>
      </c>
      <c r="B11" s="12" t="s">
        <v>21</v>
      </c>
      <c r="C11" s="8" t="s">
        <v>58</v>
      </c>
      <c r="D11" s="8" t="s">
        <v>59</v>
      </c>
      <c r="E11" s="8" t="s">
        <v>60</v>
      </c>
      <c r="F11" s="10" t="s">
        <v>17</v>
      </c>
      <c r="G11" s="10"/>
    </row>
    <row r="12" customFormat="false" ht="23.85" hidden="false" customHeight="false" outlineLevel="0" collapsed="false">
      <c r="A12" s="8" t="n">
        <v>11</v>
      </c>
      <c r="B12" s="13" t="s">
        <v>22</v>
      </c>
      <c r="C12" s="8" t="s">
        <v>61</v>
      </c>
      <c r="D12" s="8" t="s">
        <v>62</v>
      </c>
      <c r="E12" s="8" t="s">
        <v>63</v>
      </c>
      <c r="F12" s="10" t="s">
        <v>17</v>
      </c>
      <c r="G12" s="10"/>
    </row>
  </sheetData>
  <autoFilter ref="A1:G12"/>
  <dataValidations count="1">
    <dataValidation allowBlank="false" errorStyle="stop" operator="between" showDropDown="false" showErrorMessage="false" showInputMessage="false" sqref="F2:F12" type="list">
      <formula1>"Open,In progress,Fixed,Won't fix"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2026-10-30T21:15:13Z</dcterms:created>
  <dc:creator>openpyxl</dc:creator>
  <dc:description/>
  <dc:language>en-US</dc:language>
  <cp:lastModifiedBy/>
  <dcterms:modified xsi:type="dcterms:W3CDTF">2026-10-30T21:15:13Z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