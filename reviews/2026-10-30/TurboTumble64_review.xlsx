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indings" sheetId="2" state="visible" r:id="rId4"/>
  </sheets>
  <definedNames>
    <definedName function="false" hidden="true" localSheetId="1" name="_xlnm._FilterDatabase" vbProcedure="false">Findings!$A$1:$G$12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<sst xmlns="http://schemas.openxmlformats.org/spreadsheetml/2006/main" count="88" uniqueCount="64">
  <si>
    <t xml:space="preserve">TurboTumble64 - review summary</t>
  </si>
  <si>
    <t xml:space="preserve">Language / stack</t>
  </si>
  <si>
    <t xml:space="preserve">C99 + raylib 5.5</t>
  </si>
  <si>
    <t xml:space="preserve">Source size (lines)</t>
  </si>
  <si>
    <t xml:space="preserve">~7,500 (src/)</t>
  </si>
  <si>
    <t xml:space="preserve">Could it be run?</t>
  </si>
  <si>
    <t xml:space="preserve">No - static read + compile check only</t>
  </si>
  <si>
    <t xml:space="preserve">Existing tests</t>
  </si>
  <si>
    <t xml:space="preserve">Author autotest log (race 1: PASS)</t>
  </si>
  <si>
    <t xml:space="preserve">Evidence used</t>
  </si>
  <si>
    <t xml:space="preserve">Static read; compiler warnings</t>
  </si>
  <si>
    <t xml:space="preserve">Review date</t>
  </si>
  <si>
    <t xml:space="preserve">2026-10-30</t>
  </si>
  <si>
    <t xml:space="preserve">Full write-up</t>
  </si>
  <si>
    <t xml:space="preserve">TurboTumble64_review.md</t>
  </si>
  <si>
    <t xml:space="preserve">Severity</t>
  </si>
  <si>
    <t xml:space="preserve">Total</t>
  </si>
  <si>
    <t xml:space="preserve">Open</t>
  </si>
  <si>
    <t xml:space="preserve">Fixed</t>
  </si>
  <si>
    <t xml:space="preserve">High</t>
  </si>
  <si>
    <t xml:space="preserve">Medium</t>
  </si>
  <si>
    <t xml:space="preserve">Low</t>
  </si>
  <si>
    <t xml:space="preserve">Info</t>
  </si>
  <si>
    <t xml:space="preserve">Legend: on the Findings sheet, yellow cells (Status, Owner / notes) are yours to edit; counts above update automatically.</t>
  </si>
  <si>
    <t xml:space="preserve">Severity is my judgement from reading the code, not measured impact. Nothing here was run.</t>
  </si>
  <si>
    <t xml:space="preserve">#</t>
  </si>
  <si>
    <t xml:space="preserve">Area</t>
  </si>
  <si>
    <t xml:space="preserve">Finding</t>
  </si>
  <si>
    <t xml:space="preserve">Suggestion</t>
  </si>
  <si>
    <t xml:space="preserve">Status</t>
  </si>
  <si>
    <t xml:space="preserve">Owner / notes</t>
  </si>
  <si>
    <t xml:space="preserve">Ghost file (`race.c`)</t>
  </si>
  <si>
    <t xml:space="preserve">Ghost is a raw `struct` dump (`SaveFileData(..., sizeof(G.ghost))`). Loading checks only file size and a track index read through an `int*` cast. Struct padding, compiler, or any change to `Ghost`/track data silently produces a wrong or misaligned ghost.</t>
  </si>
  <si>
    <t xml:space="preserve">Add magic + version + track-geometry hash header; write fields explicitly.</t>
  </si>
  <si>
    <t xml:space="preserve">Save location</t>
  </si>
  <si>
    <t xml:space="preserve">Ghosts, settings (`turbotumble64.cfg`) and logs are written next to the exe (`GetApplicationDirectory`). Fails if installed under Program Files.</t>
  </si>
  <si>
    <t xml:space="preserve">Use a per-user data directory.</t>
  </si>
  <si>
    <t xml:space="preserve">Timestep (`main.c`)</t>
  </si>
  <si>
    <t xml:space="preserve">Game steps use `dt/steps` where `steps = ceil(dt/SIM_DT)`, so each step is up to 1/60 s but varies with refresh rate. Physics uses `Approach`/`LerpAngle` with `dt`, so handling differs slightly between 60 Hz and 144 Hz and replays are not deterministic. Autotest uses a fixed step, so tests do not cover this path.</t>
  </si>
  <si>
    <t xml:space="preserve">Fixed-step accumulator (60 Hz) with render interpolation.</t>
  </si>
  <si>
    <t xml:space="preserve">Characters (`characters.c`)</t>
  </si>
  <si>
    <t xml:space="preserve">`Dup()` strings from `character.ini` are never freed; a repeated key leaks the earlier string. `atof`/`atoi` accept garbage silently. `MAX_CHARACTERS` (32) overflow is skipped without a warning to the user.</t>
  </si>
  <si>
    <t xml:space="preserve">Free on replace; validate numbers; log skipped folders.</t>
  </si>
  <si>
    <t xml:space="preserve">Compiler warnings</t>
  </si>
  <si>
    <t xml:space="preserve">8x missing initializer for `spriteAngles`/`spriteSize` (`characters.c` 18–25); 3x shadowing of the global `R` and a local `m` (`tracks.c` 728, 913, 920).</t>
  </si>
  <si>
    <t xml:space="preserve">Initialise the fields; rename locals.</t>
  </si>
  <si>
    <t xml:space="preserve">Dead code</t>
  </si>
  <si>
    <t xml:space="preserve">`if (k-&gt;human &gt;= 0) yawRate *= 1.0f;`, `(void)oldPos`, redundant `T.loaded = true` inside `if (T.loaded)` (F2 handler).</t>
  </si>
  <si>
    <t xml:space="preserve">Remove.</t>
  </si>
  <si>
    <t xml:space="preserve">Items (`items.c`)</t>
  </si>
  <si>
    <t xml:space="preserve">`rand()` is shared by items, AI and effects, so item rolls are not isolated or reproducible. Projectile pool (64) evicts the oldest; particles beyond 4096 are dropped silently (acceptable, but undocumented).</t>
  </si>
  <si>
    <t xml:space="preserve">Use a dedicated seeded RNG per race.</t>
  </si>
  <si>
    <t xml:space="preserve">Statistics</t>
  </si>
  <si>
    <t xml:space="preserve">`Boost()` increments `statBoosts` on every refresh of an active boost, so boost counts in logs are inflated.</t>
  </si>
  <si>
    <t xml:space="preserve">Count only new boosts.</t>
  </si>
  <si>
    <t xml:space="preserve">AI</t>
  </si>
  <si>
    <t xml:space="preserve">Rubber-banding scales CPU speed by up to about +13% (factor 1 − 0.085·clamp(diff/0.14) plus 0.05 when far behind, times skill 0.955–1.0). In the author's log the autopilot "player" finished 8th, so the autotest checks that races complete, not that AI is competitive.</t>
  </si>
  <si>
    <t xml:space="preserve">Add AI-quality assertions if balance matters.</t>
  </si>
  <si>
    <t xml:space="preserve">Testing/CI</t>
  </si>
  <si>
    <t xml:space="preserve">No unit tests and no CI. `--autotest` needs a GL window. No Makefile/CMake for Linux/macOS; build docs target MSYS2.</t>
  </si>
  <si>
    <t xml:space="preserve">Add CMake + a headless logic test target.</t>
  </si>
  <si>
    <t xml:space="preserve">Repo hygiene</t>
  </si>
  <si>
    <t xml:space="preserve">A prebuilt exe and a full raylib copy are committed; `.gitignore` does not exclude them.</t>
  </si>
  <si>
    <t xml:space="preserve">Release binaries separately.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</si>
</sst>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17</v>
      </c>
      <c r="D12" s="4" t="s">
        <v>18</v>
      </c>
    </row>
    <row r="13" customFormat="false" ht="15" hidden="false" customHeight="false" outlineLevel="0" collapsed="false">
      <c r="A13" s="5" t="s">
        <v>19</v>
      </c>
      <c r="B13" s="5" t="n">
        <f aca="false">COUNTIF(Findings!$B$2:$B$12,A13)</f>
        <v>0</v>
      </c>
      <c r="C13" s="5" t="n">
        <f aca="false">COUNTIFS(Findings!$B$2:$B$12,A13,Findings!$F$2:$F$12,"Open")</f>
        <v>0</v>
      </c>
      <c r="D13" s="5" t="n">
        <f aca="false">COUNTIFS(Findings!$B$2:$B$12,A13,Findings!$F$2:$F$12,"Fixed")</f>
        <v>0</v>
      </c>
    </row>
    <row r="14" customFormat="false" ht="15" hidden="false" customHeight="false" outlineLevel="0" collapsed="false">
      <c r="A14" s="5" t="s">
        <v>20</v>
      </c>
      <c r="B14" s="5" t="n">
        <f aca="false">COUNTIF(Findings!$B$2:$B$12,A14)</f>
        <v>3</v>
      </c>
      <c r="C14" s="5" t="n">
        <f aca="false">COUNTIFS(Findings!$B$2:$B$12,A14,Findings!$F$2:$F$12,"Open")</f>
        <v>3</v>
      </c>
      <c r="D14" s="5" t="n">
        <f aca="false">COUNTIFS(Findings!$B$2:$B$12,A14,Findings!$F$2:$F$12,"Fixed")</f>
        <v>0</v>
      </c>
    </row>
    <row r="15" customFormat="false" ht="15" hidden="false" customHeight="false" outlineLevel="0" collapsed="false">
      <c r="A15" s="5" t="s">
        <v>21</v>
      </c>
      <c r="B15" s="5" t="n">
        <f aca="false">COUNTIF(Findings!$B$2:$B$12,A15)</f>
        <v>5</v>
      </c>
      <c r="C15" s="5" t="n">
        <f aca="false">COUNTIFS(Findings!$B$2:$B$12,A15,Findings!$F$2:$F$12,"Open")</f>
        <v>5</v>
      </c>
      <c r="D15" s="5" t="n">
        <f aca="false">COUNTIFS(Findings!$B$2:$B$12,A15,Findings!$F$2:$F$12,"Fixed")</f>
        <v>0</v>
      </c>
    </row>
    <row r="16" customFormat="false" ht="15" hidden="false" customHeight="false" outlineLevel="0" collapsed="false">
      <c r="A16" s="5" t="s">
        <v>22</v>
      </c>
      <c r="B16" s="5" t="n">
        <f aca="false">COUNTIF(Findings!$B$2:$B$12,A16)</f>
        <v>3</v>
      </c>
      <c r="C16" s="5" t="n">
        <f aca="false">COUNTIFS(Findings!$B$2:$B$12,A16,Findings!$F$2:$F$12,"Open")</f>
        <v>3</v>
      </c>
      <c r="D16" s="5" t="n">
        <f aca="false">COUNTIFS(Findings!$B$2:$B$12,A16,Findings!$F$2:$F$12,"Fixed")</f>
        <v>0</v>
      </c>
    </row>
    <row r="17" customFormat="false" ht="15" hidden="false" customHeight="false" outlineLevel="0" collapsed="false">
      <c r="A17" s="2" t="s">
        <v>16</v>
      </c>
      <c r="B17" s="2" t="n">
        <f aca="false">SUM(B13:B16)</f>
        <v>11</v>
      </c>
      <c r="C17" s="2" t="n">
        <f aca="false">SUM(C13:C16)</f>
        <v>11</v>
      </c>
      <c r="D17" s="2" t="n">
        <f aca="false">SUM(D13:D16)</f>
        <v>0</v>
      </c>
    </row>
    <row r="19" customFormat="false" ht="15" hidden="false" customHeight="false" outlineLevel="0" collapsed="false">
      <c r="A19" s="6" t="s">
        <v>23</v>
      </c>
    </row>
    <row r="20" customFormat="false" ht="15" hidden="false" customHeight="false" outlineLevel="0" collapsed="false">
      <c r="A20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45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7" t="s">
        <v>25</v>
      </c>
      <c r="B1" s="7" t="s">
        <v>15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customFormat="false" ht="35.05" hidden="false" customHeight="false" outlineLevel="0" collapsed="false">
      <c r="A2" s="8" t="n">
        <v>1</v>
      </c>
      <c r="B2" s="9" t="s">
        <v>20</v>
      </c>
      <c r="C2" s="8" t="s">
        <v>31</v>
      </c>
      <c r="D2" s="8" t="s">
        <v>32</v>
      </c>
      <c r="E2" s="8" t="s">
        <v>33</v>
      </c>
      <c r="F2" s="10" t="s">
        <v>17</v>
      </c>
      <c r="G2" s="10"/>
    </row>
    <row r="3" customFormat="false" ht="23.85" hidden="false" customHeight="false" outlineLevel="0" collapsed="false">
      <c r="A3" s="8" t="n">
        <v>2</v>
      </c>
      <c r="B3" s="9" t="s">
        <v>20</v>
      </c>
      <c r="C3" s="8" t="s">
        <v>34</v>
      </c>
      <c r="D3" s="8" t="s">
        <v>35</v>
      </c>
      <c r="E3" s="8" t="s">
        <v>36</v>
      </c>
      <c r="F3" s="10" t="s">
        <v>17</v>
      </c>
      <c r="G3" s="10"/>
    </row>
    <row r="4" customFormat="false" ht="46.25" hidden="false" customHeight="false" outlineLevel="0" collapsed="false">
      <c r="A4" s="8" t="n">
        <v>3</v>
      </c>
      <c r="B4" s="9" t="s">
        <v>20</v>
      </c>
      <c r="C4" s="8" t="s">
        <v>37</v>
      </c>
      <c r="D4" s="8" t="s">
        <v>38</v>
      </c>
      <c r="E4" s="8" t="s">
        <v>39</v>
      </c>
      <c r="F4" s="10" t="s">
        <v>17</v>
      </c>
      <c r="G4" s="10"/>
    </row>
    <row r="5" customFormat="false" ht="35.05" hidden="false" customHeight="false" outlineLevel="0" collapsed="false">
      <c r="A5" s="8" t="n">
        <v>4</v>
      </c>
      <c r="B5" s="11" t="s">
        <v>21</v>
      </c>
      <c r="C5" s="8" t="s">
        <v>40</v>
      </c>
      <c r="D5" s="8" t="s">
        <v>41</v>
      </c>
      <c r="E5" s="8" t="s">
        <v>42</v>
      </c>
      <c r="F5" s="10" t="s">
        <v>17</v>
      </c>
      <c r="G5" s="10"/>
    </row>
    <row r="6" customFormat="false" ht="23.85" hidden="false" customHeight="false" outlineLevel="0" collapsed="false">
      <c r="A6" s="8" t="n">
        <v>5</v>
      </c>
      <c r="B6" s="11" t="s">
        <v>21</v>
      </c>
      <c r="C6" s="8" t="s">
        <v>43</v>
      </c>
      <c r="D6" s="8" t="s">
        <v>44</v>
      </c>
      <c r="E6" s="8" t="s">
        <v>45</v>
      </c>
      <c r="F6" s="10" t="s">
        <v>17</v>
      </c>
      <c r="G6" s="10"/>
    </row>
    <row r="7" customFormat="false" ht="23.85" hidden="false" customHeight="false" outlineLevel="0" collapsed="false">
      <c r="A7" s="8" t="n">
        <v>6</v>
      </c>
      <c r="B7" s="11" t="s">
        <v>21</v>
      </c>
      <c r="C7" s="8" t="s">
        <v>46</v>
      </c>
      <c r="D7" s="8" t="s">
        <v>47</v>
      </c>
      <c r="E7" s="8" t="s">
        <v>48</v>
      </c>
      <c r="F7" s="10" t="s">
        <v>17</v>
      </c>
      <c r="G7" s="10"/>
    </row>
    <row r="8" customFormat="false" ht="35.05" hidden="false" customHeight="false" outlineLevel="0" collapsed="false">
      <c r="A8" s="8" t="n">
        <v>7</v>
      </c>
      <c r="B8" s="11" t="s">
        <v>21</v>
      </c>
      <c r="C8" s="8" t="s">
        <v>49</v>
      </c>
      <c r="D8" s="8" t="s">
        <v>50</v>
      </c>
      <c r="E8" s="8" t="s">
        <v>51</v>
      </c>
      <c r="F8" s="10" t="s">
        <v>17</v>
      </c>
      <c r="G8" s="10"/>
    </row>
    <row r="9" customFormat="false" ht="23.85" hidden="false" customHeight="false" outlineLevel="0" collapsed="false">
      <c r="A9" s="8" t="n">
        <v>8</v>
      </c>
      <c r="B9" s="11" t="s">
        <v>21</v>
      </c>
      <c r="C9" s="8" t="s">
        <v>52</v>
      </c>
      <c r="D9" s="8" t="s">
        <v>53</v>
      </c>
      <c r="E9" s="8" t="s">
        <v>54</v>
      </c>
      <c r="F9" s="10" t="s">
        <v>17</v>
      </c>
      <c r="G9" s="10"/>
    </row>
    <row r="10" customFormat="false" ht="46.25" hidden="false" customHeight="false" outlineLevel="0" collapsed="false">
      <c r="A10" s="8" t="n">
        <v>9</v>
      </c>
      <c r="B10" s="12" t="s">
        <v>22</v>
      </c>
      <c r="C10" s="8" t="s">
        <v>55</v>
      </c>
      <c r="D10" s="8" t="s">
        <v>56</v>
      </c>
      <c r="E10" s="8" t="s">
        <v>57</v>
      </c>
      <c r="F10" s="10" t="s">
        <v>17</v>
      </c>
      <c r="G10" s="10"/>
    </row>
    <row r="11" customFormat="false" ht="23.85" hidden="false" customHeight="false" outlineLevel="0" collapsed="false">
      <c r="A11" s="8" t="n">
        <v>10</v>
      </c>
      <c r="B11" s="12" t="s">
        <v>22</v>
      </c>
      <c r="C11" s="8" t="s">
        <v>58</v>
      </c>
      <c r="D11" s="8" t="s">
        <v>59</v>
      </c>
      <c r="E11" s="8" t="s">
        <v>60</v>
      </c>
      <c r="F11" s="10" t="s">
        <v>17</v>
      </c>
      <c r="G11" s="10"/>
    </row>
    <row r="12" customFormat="false" ht="15" hidden="false" customHeight="false" outlineLevel="0" collapsed="false">
      <c r="A12" s="8" t="n">
        <v>11</v>
      </c>
      <c r="B12" s="12" t="s">
        <v>22</v>
      </c>
      <c r="C12" s="8" t="s">
        <v>61</v>
      </c>
      <c r="D12" s="8" t="s">
        <v>62</v>
      </c>
      <c r="E12" s="8" t="s">
        <v>63</v>
      </c>
      <c r="F12" s="10" t="s">
        <v>17</v>
      </c>
      <c r="G12" s="10"/>
    </row>
  </sheetData>
  <autoFilter ref="A1:G12"/>
  <dataValidations count="1">
    <dataValidation allowBlank="false" errorStyle="stop" operator="between" showDropDown="false" showErrorMessage="false" showInputMessage="false" sqref="F2:F12" type="list">
      <formula1>"Open,In progress,Fixed,Won't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2026-10-30T21:15:13Z</dcterms:created>
  <dc:creator>openpyxl</dc:creator>
  <dc:description/>
  <dc:language>en-US</dc:language>
  <cp:lastModifiedBy/>
  <dcterms:modified xsi:type="dcterms:W3CDTF">2026-10-30T21:15:13Z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